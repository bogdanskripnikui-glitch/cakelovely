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уцк" sheetId="1" r:id="rId5"/>
    <sheet state="visible" name="Харьков" sheetId="2" r:id="rId6"/>
    <sheet state="visible" name="Ирпень" sheetId="3" r:id="rId7"/>
  </sheets>
  <definedNames/>
  <calcPr/>
</workbook>
</file>

<file path=xl/sharedStrings.xml><?xml version="1.0" encoding="utf-8"?>
<sst xmlns="http://schemas.openxmlformats.org/spreadsheetml/2006/main" count="119" uniqueCount="28">
  <si>
    <t>Наименования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</si>
  <si>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</si>
  <si>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</si>
  <si>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</si>
  <si>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</si>
  <si>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</si>
  <si>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</si>
  <si>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</si>
  <si>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</si>
  <si>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</si>
  <si>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</si>
  <si>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</si>
  <si>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</si>
  <si>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Коэффициенты</t>
  </si>
  <si>
    <t>Торты</t>
  </si>
  <si>
    <t>Большие</t>
  </si>
  <si>
    <t>Стаканы</t>
  </si>
  <si>
    <t>Капкейки</t>
  </si>
  <si>
    <t>Набор мини</t>
  </si>
  <si>
    <t>Набор стандарт</t>
  </si>
  <si>
    <t>Набор макси</t>
  </si>
  <si>
    <t>Моти</t>
  </si>
  <si>
    <t>Собери сам</t>
  </si>
  <si>
    <t>Мини с трайфлами</t>
  </si>
  <si>
    <t>Стандарт с трайфлами</t>
  </si>
  <si>
    <t>Макси с трайфлами</t>
  </si>
  <si>
    <t>ВСЕГО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</si>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</sst>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sz val="12.0"/>
      <color theme="1"/>
      <name val="Times New Roman"/>
    </font>
    <font>
      <sz val="12.0"/>
      <color rgb="FF999999"/>
      <name val="Times New Roman"/>
    </font>
    <font>
      <sz val="12.0"/>
      <color rgb="FFB7B7B7"/>
      <name val="Times New Roman"/>
    </font>
    <font>
      <color rgb="FF999999"/>
      <name val="Arial"/>
      <scheme val="minor"/>
    </font>
    <font>
      <color rgb="FFB7B7B7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3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4" fillId="6" fontId="1" numFmtId="0" xfId="0" applyAlignment="1" applyBorder="1" applyFill="1" applyFont="1">
      <alignment horizontal="left" vertical="center"/>
    </xf>
    <xf borderId="4" fillId="0" fontId="3" numFmtId="0" xfId="0" applyAlignment="1" applyBorder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6" fontId="1" numFmtId="0" xfId="0" applyAlignment="1" applyBorder="1" applyFont="1">
      <alignment horizontal="left" shrinkToFit="0" vertical="center" wrapText="0"/>
    </xf>
    <xf borderId="4" fillId="6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4" fontId="6" numFmtId="0" xfId="0" applyAlignment="1" applyFont="1">
      <alignment horizontal="center"/>
    </xf>
    <xf borderId="0" fillId="4" fontId="7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'Луцк'!$B$39:$M$39</c:f>
            </c:strRef>
          </c:cat>
          <c:val>
            <c:numRef>
              <c:f>'Луцк'!$B$40:$M$40</c:f>
              <c:numCache/>
            </c:numRef>
          </c:val>
        </c:ser>
        <c:axId val="514759675"/>
        <c:axId val="687694379"/>
      </c:barChart>
      <c:catAx>
        <c:axId val="514759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694379"/>
      </c:catAx>
      <c:valAx>
        <c:axId val="687694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47596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'Харьков'!$B$40:$M$40</c:f>
            </c:strRef>
          </c:cat>
          <c:val>
            <c:numRef>
              <c:f>'Харьков'!$B$41:$M$41</c:f>
              <c:numCache/>
            </c:numRef>
          </c:val>
        </c:ser>
        <c:axId val="500449266"/>
        <c:axId val="801650181"/>
      </c:barChart>
      <c:catAx>
        <c:axId val="500449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650181"/>
      </c:catAx>
      <c:valAx>
        <c:axId val="801650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449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'Ирпень'!$B$40:$M$40</c:f>
            </c:strRef>
          </c:cat>
          <c:val>
            <c:numRef>
              <c:f>'Ирпень'!$B$41:$M$41</c:f>
              <c:numCache/>
            </c:numRef>
          </c:val>
        </c:ser>
        <c:axId val="590054095"/>
        <c:axId val="2081713544"/>
      </c:barChart>
      <c:catAx>
        <c:axId val="590054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713544"/>
      </c:catAx>
      <c:valAx>
        <c:axId val="2081713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054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16</xdr:row>
      <xdr:rowOff>171450</xdr:rowOff>
    </xdr:from>
    <xdr:ext cx="6162675" cy="381000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657225</xdr:colOff>
      <xdr:row>17</xdr:row>
      <xdr:rowOff>19050</xdr:rowOff>
    </xdr:from>
    <xdr:ext cx="6162675" cy="38100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657225</xdr:colOff>
      <xdr:row>17</xdr:row>
      <xdr:rowOff>19050</xdr:rowOff>
    </xdr:from>
    <xdr:ext cx="6162675" cy="381000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9.25"/>
    <col customWidth="1" min="3" max="3" width="7.0"/>
    <col customWidth="1" min="4" max="4" width="8.5"/>
    <col customWidth="1" min="5" max="5" width="7.5"/>
    <col customWidth="1" min="6" max="6" width="7.75"/>
    <col customWidth="1" min="7" max="7" width="6.75"/>
    <col customWidth="1" min="8" max="8" width="7.75"/>
    <col customWidth="1" min="9" max="9" width="7.13"/>
    <col customWidth="1" min="10" max="10" width="8.25"/>
    <col customWidth="1" min="11" max="11" width="7.5"/>
    <col customWidth="1" min="12" max="12" width="7.88"/>
    <col customWidth="1" min="13" max="13" width="6.88"/>
    <col customWidth="1" min="14" max="14" width="7.5"/>
    <col customWidth="1" min="15" max="15" width="6.63"/>
    <col customWidth="1" min="16" max="16" width="8.63"/>
    <col customWidth="1" min="17" max="17" width="6.38"/>
    <col customWidth="1" min="18" max="18" width="7.88"/>
    <col customWidth="1" min="19" max="19" width="7.38"/>
    <col customWidth="1" min="20" max="20" width="9.75"/>
    <col customWidth="1" min="21" max="21" width="6.88"/>
    <col customWidth="1" min="22" max="22" width="9.25"/>
    <col customWidth="1" min="23" max="23" width="6.25"/>
    <col customWidth="1" min="24" max="24" width="9.75"/>
    <col customWidth="1" min="25" max="25" width="7.63"/>
  </cols>
  <sheetData>
    <row r="1">
      <c r="A1" s="1" t="s">
        <v>0</v>
      </c>
      <c r="B1" s="2" t="s">
        <v>1</v>
      </c>
      <c r="C1" s="3"/>
      <c r="D1" s="4" t="s">
        <v>2</v>
      </c>
      <c r="E1" s="5"/>
      <c r="F1" s="6" t="s">
        <v>3</v>
      </c>
      <c r="G1" s="5"/>
      <c r="H1" s="6" t="s">
        <v>4</v>
      </c>
      <c r="I1" s="5"/>
      <c r="J1" s="6" t="s">
        <v>5</v>
      </c>
      <c r="K1" s="5"/>
      <c r="L1" s="6" t="s">
        <v>6</v>
      </c>
      <c r="M1" s="5"/>
      <c r="N1" s="6" t="s">
        <v>7</v>
      </c>
      <c r="O1" s="5"/>
      <c r="P1" s="6" t="s">
        <v>8</v>
      </c>
      <c r="Q1" s="5"/>
      <c r="R1" s="6" t="s">
        <v>9</v>
      </c>
      <c r="S1" s="5"/>
      <c r="T1" s="6" t="s">
        <v>10</v>
      </c>
      <c r="U1" s="5"/>
      <c r="V1" s="6" t="s">
        <v>11</v>
      </c>
      <c r="W1" s="5"/>
      <c r="X1" s="6" t="s">
        <v>12</v>
      </c>
      <c r="Y1" s="7"/>
      <c r="Z1" s="8" t="s">
        <v>13</v>
      </c>
    </row>
    <row r="2">
      <c r="A2" s="9" t="s">
        <v>14</v>
      </c>
      <c r="B2" s="10">
        <v>180.0</v>
      </c>
      <c r="C2" s="11">
        <f t="shared" ref="C2:C13" si="1">B2*Z2</f>
        <v>180</v>
      </c>
      <c r="D2" s="10">
        <v>236.0</v>
      </c>
      <c r="E2" s="11">
        <f t="shared" ref="E2:E13" si="2">D2*Z2</f>
        <v>236</v>
      </c>
      <c r="F2" s="10">
        <v>241.0</v>
      </c>
      <c r="G2" s="11">
        <f t="shared" ref="G2:G13" si="3">F2*Z2</f>
        <v>241</v>
      </c>
      <c r="H2" s="10">
        <v>153.0</v>
      </c>
      <c r="I2" s="12">
        <f t="shared" ref="I2:I13" si="4">H2*Z2</f>
        <v>153</v>
      </c>
      <c r="J2" s="10">
        <v>221.0</v>
      </c>
      <c r="K2" s="11">
        <f t="shared" ref="K2:K13" si="5">J2*Z2</f>
        <v>221</v>
      </c>
      <c r="L2" s="10"/>
      <c r="M2" s="11">
        <f t="shared" ref="M2:M13" si="6">L2*Z2</f>
        <v>0</v>
      </c>
      <c r="N2" s="10"/>
      <c r="O2" s="11">
        <f t="shared" ref="O2:O13" si="7">N2*Z2</f>
        <v>0</v>
      </c>
      <c r="P2" s="10"/>
      <c r="Q2" s="11">
        <f t="shared" ref="Q2:Q13" si="8">P2*Z2</f>
        <v>0</v>
      </c>
      <c r="R2" s="10"/>
      <c r="S2" s="11">
        <f t="shared" ref="S2:S13" si="9">R2*Z2</f>
        <v>0</v>
      </c>
      <c r="T2" s="10"/>
      <c r="U2" s="11">
        <f t="shared" ref="U2:U13" si="10">T2*Z2</f>
        <v>0</v>
      </c>
      <c r="V2" s="10"/>
      <c r="W2" s="11">
        <f t="shared" ref="W2:W13" si="11">V2*Z2</f>
        <v>0</v>
      </c>
      <c r="X2" s="10"/>
      <c r="Y2" s="13">
        <f t="shared" ref="Y2:Y13" si="12">X2*Z2</f>
        <v>0</v>
      </c>
      <c r="Z2" s="8">
        <v>1.0</v>
      </c>
    </row>
    <row r="3">
      <c r="A3" s="9" t="s">
        <v>15</v>
      </c>
      <c r="B3" s="10">
        <v>89.0</v>
      </c>
      <c r="C3" s="11">
        <f t="shared" si="1"/>
        <v>144.18</v>
      </c>
      <c r="D3" s="10">
        <v>107.0</v>
      </c>
      <c r="E3" s="11">
        <f t="shared" si="2"/>
        <v>173.34</v>
      </c>
      <c r="F3" s="10">
        <v>100.0</v>
      </c>
      <c r="G3" s="11">
        <f t="shared" si="3"/>
        <v>162</v>
      </c>
      <c r="H3" s="10">
        <v>74.0</v>
      </c>
      <c r="I3" s="12">
        <f t="shared" si="4"/>
        <v>119.88</v>
      </c>
      <c r="J3" s="10">
        <v>97.0</v>
      </c>
      <c r="K3" s="11">
        <f t="shared" si="5"/>
        <v>157.14</v>
      </c>
      <c r="L3" s="10"/>
      <c r="M3" s="11">
        <f t="shared" si="6"/>
        <v>0</v>
      </c>
      <c r="N3" s="10"/>
      <c r="O3" s="11">
        <f t="shared" si="7"/>
        <v>0</v>
      </c>
      <c r="P3" s="10"/>
      <c r="Q3" s="11">
        <f t="shared" si="8"/>
        <v>0</v>
      </c>
      <c r="R3" s="10"/>
      <c r="S3" s="11">
        <f t="shared" si="9"/>
        <v>0</v>
      </c>
      <c r="T3" s="10"/>
      <c r="U3" s="11">
        <f t="shared" si="10"/>
        <v>0</v>
      </c>
      <c r="V3" s="10"/>
      <c r="W3" s="11">
        <f t="shared" si="11"/>
        <v>0</v>
      </c>
      <c r="X3" s="10"/>
      <c r="Y3" s="13">
        <f t="shared" si="12"/>
        <v>0</v>
      </c>
      <c r="Z3" s="8">
        <v>1.62</v>
      </c>
    </row>
    <row r="4">
      <c r="A4" s="9" t="s">
        <v>16</v>
      </c>
      <c r="B4" s="10">
        <v>2.0</v>
      </c>
      <c r="C4" s="11">
        <f t="shared" si="1"/>
        <v>1.56</v>
      </c>
      <c r="D4" s="10">
        <v>4.0</v>
      </c>
      <c r="E4" s="11">
        <f t="shared" si="2"/>
        <v>3.12</v>
      </c>
      <c r="F4" s="10">
        <v>1.0</v>
      </c>
      <c r="G4" s="11">
        <f t="shared" si="3"/>
        <v>0.78</v>
      </c>
      <c r="H4" s="10"/>
      <c r="I4" s="12">
        <f t="shared" si="4"/>
        <v>0</v>
      </c>
      <c r="J4" s="10">
        <v>1.0</v>
      </c>
      <c r="K4" s="11">
        <f t="shared" si="5"/>
        <v>0.78</v>
      </c>
      <c r="L4" s="10"/>
      <c r="M4" s="11">
        <f t="shared" si="6"/>
        <v>0</v>
      </c>
      <c r="N4" s="10"/>
      <c r="O4" s="11">
        <f t="shared" si="7"/>
        <v>0</v>
      </c>
      <c r="P4" s="10"/>
      <c r="Q4" s="11">
        <f t="shared" si="8"/>
        <v>0</v>
      </c>
      <c r="R4" s="10"/>
      <c r="S4" s="11">
        <f t="shared" si="9"/>
        <v>0</v>
      </c>
      <c r="T4" s="10"/>
      <c r="U4" s="11">
        <f t="shared" si="10"/>
        <v>0</v>
      </c>
      <c r="V4" s="10"/>
      <c r="W4" s="11">
        <f t="shared" si="11"/>
        <v>0</v>
      </c>
      <c r="X4" s="10"/>
      <c r="Y4" s="13">
        <f t="shared" si="12"/>
        <v>0</v>
      </c>
      <c r="Z4" s="8">
        <v>0.78</v>
      </c>
    </row>
    <row r="5">
      <c r="A5" s="9" t="s">
        <v>17</v>
      </c>
      <c r="B5" s="14"/>
      <c r="C5" s="11">
        <f t="shared" si="1"/>
        <v>0</v>
      </c>
      <c r="D5" s="14"/>
      <c r="E5" s="11">
        <f t="shared" si="2"/>
        <v>0</v>
      </c>
      <c r="F5" s="10"/>
      <c r="G5" s="11">
        <f t="shared" si="3"/>
        <v>0</v>
      </c>
      <c r="H5" s="14"/>
      <c r="I5" s="12">
        <f t="shared" si="4"/>
        <v>0</v>
      </c>
      <c r="J5" s="14"/>
      <c r="K5" s="11">
        <f t="shared" si="5"/>
        <v>0</v>
      </c>
      <c r="L5" s="10"/>
      <c r="M5" s="11">
        <f t="shared" si="6"/>
        <v>0</v>
      </c>
      <c r="N5" s="10"/>
      <c r="O5" s="11">
        <f t="shared" si="7"/>
        <v>0</v>
      </c>
      <c r="P5" s="14"/>
      <c r="Q5" s="11">
        <f t="shared" si="8"/>
        <v>0</v>
      </c>
      <c r="R5" s="14"/>
      <c r="S5" s="11">
        <f t="shared" si="9"/>
        <v>0</v>
      </c>
      <c r="T5" s="14"/>
      <c r="U5" s="11">
        <f t="shared" si="10"/>
        <v>0</v>
      </c>
      <c r="V5" s="14"/>
      <c r="W5" s="11">
        <f t="shared" si="11"/>
        <v>0</v>
      </c>
      <c r="X5" s="14"/>
      <c r="Y5" s="13">
        <f t="shared" si="12"/>
        <v>0</v>
      </c>
    </row>
    <row r="6">
      <c r="A6" s="9" t="s">
        <v>18</v>
      </c>
      <c r="B6" s="10">
        <v>4.0</v>
      </c>
      <c r="C6" s="11">
        <f t="shared" si="1"/>
        <v>5.24</v>
      </c>
      <c r="D6" s="10">
        <v>18.0</v>
      </c>
      <c r="E6" s="11">
        <f t="shared" si="2"/>
        <v>23.58</v>
      </c>
      <c r="F6" s="10">
        <v>4.0</v>
      </c>
      <c r="G6" s="11">
        <f t="shared" si="3"/>
        <v>5.24</v>
      </c>
      <c r="H6" s="10">
        <v>2.0</v>
      </c>
      <c r="I6" s="12">
        <f t="shared" si="4"/>
        <v>2.62</v>
      </c>
      <c r="J6" s="10">
        <v>1.0</v>
      </c>
      <c r="K6" s="11">
        <f t="shared" si="5"/>
        <v>1.31</v>
      </c>
      <c r="L6" s="10"/>
      <c r="M6" s="11">
        <f t="shared" si="6"/>
        <v>0</v>
      </c>
      <c r="N6" s="10"/>
      <c r="O6" s="11">
        <f t="shared" si="7"/>
        <v>0</v>
      </c>
      <c r="P6" s="10"/>
      <c r="Q6" s="11">
        <f t="shared" si="8"/>
        <v>0</v>
      </c>
      <c r="R6" s="10"/>
      <c r="S6" s="11">
        <f t="shared" si="9"/>
        <v>0</v>
      </c>
      <c r="T6" s="10"/>
      <c r="U6" s="11">
        <f t="shared" si="10"/>
        <v>0</v>
      </c>
      <c r="V6" s="10"/>
      <c r="W6" s="11">
        <f t="shared" si="11"/>
        <v>0</v>
      </c>
      <c r="X6" s="10"/>
      <c r="Y6" s="13">
        <f t="shared" si="12"/>
        <v>0</v>
      </c>
      <c r="Z6" s="8">
        <v>1.31</v>
      </c>
    </row>
    <row r="7">
      <c r="A7" s="15" t="s">
        <v>19</v>
      </c>
      <c r="B7" s="10">
        <v>9.0</v>
      </c>
      <c r="C7" s="11">
        <f t="shared" si="1"/>
        <v>16.2</v>
      </c>
      <c r="D7" s="10">
        <v>11.0</v>
      </c>
      <c r="E7" s="11">
        <f t="shared" si="2"/>
        <v>19.8</v>
      </c>
      <c r="F7" s="10">
        <v>7.0</v>
      </c>
      <c r="G7" s="11">
        <f t="shared" si="3"/>
        <v>12.6</v>
      </c>
      <c r="H7" s="10">
        <v>4.0</v>
      </c>
      <c r="I7" s="12">
        <f t="shared" si="4"/>
        <v>7.2</v>
      </c>
      <c r="J7" s="10">
        <v>3.0</v>
      </c>
      <c r="K7" s="11">
        <f t="shared" si="5"/>
        <v>5.4</v>
      </c>
      <c r="L7" s="10"/>
      <c r="M7" s="11">
        <f t="shared" si="6"/>
        <v>0</v>
      </c>
      <c r="N7" s="10"/>
      <c r="O7" s="11">
        <f t="shared" si="7"/>
        <v>0</v>
      </c>
      <c r="P7" s="10"/>
      <c r="Q7" s="11">
        <f t="shared" si="8"/>
        <v>0</v>
      </c>
      <c r="R7" s="10"/>
      <c r="S7" s="11">
        <f t="shared" si="9"/>
        <v>0</v>
      </c>
      <c r="T7" s="10"/>
      <c r="U7" s="11">
        <f t="shared" si="10"/>
        <v>0</v>
      </c>
      <c r="V7" s="10"/>
      <c r="W7" s="11">
        <f t="shared" si="11"/>
        <v>0</v>
      </c>
      <c r="X7" s="10"/>
      <c r="Y7" s="13">
        <f t="shared" si="12"/>
        <v>0</v>
      </c>
      <c r="Z7" s="8">
        <v>1.8</v>
      </c>
    </row>
    <row r="8">
      <c r="A8" s="9" t="s">
        <v>20</v>
      </c>
      <c r="B8" s="10">
        <v>1.0</v>
      </c>
      <c r="C8" s="11">
        <f t="shared" si="1"/>
        <v>2.25</v>
      </c>
      <c r="D8" s="10">
        <v>3.0</v>
      </c>
      <c r="E8" s="11">
        <f t="shared" si="2"/>
        <v>6.75</v>
      </c>
      <c r="F8" s="10">
        <v>3.0</v>
      </c>
      <c r="G8" s="11">
        <f t="shared" si="3"/>
        <v>6.75</v>
      </c>
      <c r="H8" s="10">
        <v>4.0</v>
      </c>
      <c r="I8" s="12">
        <f t="shared" si="4"/>
        <v>9</v>
      </c>
      <c r="J8" s="10"/>
      <c r="K8" s="11">
        <f t="shared" si="5"/>
        <v>0</v>
      </c>
      <c r="L8" s="10"/>
      <c r="M8" s="11">
        <f t="shared" si="6"/>
        <v>0</v>
      </c>
      <c r="N8" s="10"/>
      <c r="O8" s="11">
        <f t="shared" si="7"/>
        <v>0</v>
      </c>
      <c r="P8" s="10"/>
      <c r="Q8" s="11">
        <f t="shared" si="8"/>
        <v>0</v>
      </c>
      <c r="R8" s="10"/>
      <c r="S8" s="11">
        <f t="shared" si="9"/>
        <v>0</v>
      </c>
      <c r="T8" s="10"/>
      <c r="U8" s="11">
        <f t="shared" si="10"/>
        <v>0</v>
      </c>
      <c r="V8" s="10"/>
      <c r="W8" s="11">
        <f t="shared" si="11"/>
        <v>0</v>
      </c>
      <c r="X8" s="10"/>
      <c r="Y8" s="13">
        <f t="shared" si="12"/>
        <v>0</v>
      </c>
      <c r="Z8" s="8">
        <v>2.25</v>
      </c>
    </row>
    <row r="9">
      <c r="A9" s="16" t="s">
        <v>21</v>
      </c>
      <c r="B9" s="10"/>
      <c r="C9" s="11">
        <f t="shared" si="1"/>
        <v>0</v>
      </c>
      <c r="D9" s="10"/>
      <c r="E9" s="11">
        <f t="shared" si="2"/>
        <v>0</v>
      </c>
      <c r="F9" s="10"/>
      <c r="G9" s="11">
        <f t="shared" si="3"/>
        <v>0</v>
      </c>
      <c r="H9" s="10"/>
      <c r="I9" s="12">
        <f t="shared" si="4"/>
        <v>0</v>
      </c>
      <c r="J9" s="10"/>
      <c r="K9" s="11">
        <f t="shared" si="5"/>
        <v>0</v>
      </c>
      <c r="L9" s="10"/>
      <c r="M9" s="11">
        <f t="shared" si="6"/>
        <v>0</v>
      </c>
      <c r="N9" s="10"/>
      <c r="O9" s="11">
        <f t="shared" si="7"/>
        <v>0</v>
      </c>
      <c r="P9" s="10"/>
      <c r="Q9" s="11">
        <f t="shared" si="8"/>
        <v>0</v>
      </c>
      <c r="R9" s="10"/>
      <c r="S9" s="11">
        <f t="shared" si="9"/>
        <v>0</v>
      </c>
      <c r="T9" s="10"/>
      <c r="U9" s="11">
        <f t="shared" si="10"/>
        <v>0</v>
      </c>
      <c r="V9" s="10"/>
      <c r="W9" s="11">
        <f t="shared" si="11"/>
        <v>0</v>
      </c>
      <c r="X9" s="10"/>
      <c r="Y9" s="13">
        <f t="shared" si="12"/>
        <v>0</v>
      </c>
    </row>
    <row r="10">
      <c r="A10" s="16" t="s">
        <v>22</v>
      </c>
      <c r="B10" s="10">
        <v>2.0</v>
      </c>
      <c r="C10" s="11">
        <f t="shared" si="1"/>
        <v>2.34</v>
      </c>
      <c r="D10" s="10">
        <v>6.0</v>
      </c>
      <c r="E10" s="11">
        <f t="shared" si="2"/>
        <v>7.02</v>
      </c>
      <c r="F10" s="10"/>
      <c r="G10" s="11">
        <f t="shared" si="3"/>
        <v>0</v>
      </c>
      <c r="H10" s="10">
        <v>1.0</v>
      </c>
      <c r="I10" s="12">
        <f t="shared" si="4"/>
        <v>1.17</v>
      </c>
      <c r="J10" s="10"/>
      <c r="K10" s="11">
        <f t="shared" si="5"/>
        <v>0</v>
      </c>
      <c r="L10" s="10"/>
      <c r="M10" s="11">
        <f t="shared" si="6"/>
        <v>0</v>
      </c>
      <c r="N10" s="10"/>
      <c r="O10" s="11">
        <f t="shared" si="7"/>
        <v>0</v>
      </c>
      <c r="P10" s="10"/>
      <c r="Q10" s="11">
        <f t="shared" si="8"/>
        <v>0</v>
      </c>
      <c r="R10" s="10"/>
      <c r="S10" s="11">
        <f t="shared" si="9"/>
        <v>0</v>
      </c>
      <c r="T10" s="10"/>
      <c r="U10" s="11">
        <f t="shared" si="10"/>
        <v>0</v>
      </c>
      <c r="V10" s="10"/>
      <c r="W10" s="11">
        <f t="shared" si="11"/>
        <v>0</v>
      </c>
      <c r="X10" s="10"/>
      <c r="Y10" s="13">
        <f t="shared" si="12"/>
        <v>0</v>
      </c>
      <c r="Z10" s="8">
        <v>1.17</v>
      </c>
    </row>
    <row r="11">
      <c r="A11" s="16" t="s">
        <v>23</v>
      </c>
      <c r="B11" s="10">
        <v>9.0</v>
      </c>
      <c r="C11" s="11">
        <f t="shared" si="1"/>
        <v>12.87</v>
      </c>
      <c r="D11" s="10">
        <v>12.0</v>
      </c>
      <c r="E11" s="11">
        <f t="shared" si="2"/>
        <v>17.16</v>
      </c>
      <c r="F11" s="10">
        <v>19.0</v>
      </c>
      <c r="G11" s="11">
        <f t="shared" si="3"/>
        <v>27.17</v>
      </c>
      <c r="H11" s="10">
        <v>6.0</v>
      </c>
      <c r="I11" s="12">
        <f t="shared" si="4"/>
        <v>8.58</v>
      </c>
      <c r="J11" s="10">
        <v>13.0</v>
      </c>
      <c r="K11" s="11">
        <f t="shared" si="5"/>
        <v>18.59</v>
      </c>
      <c r="L11" s="10"/>
      <c r="M11" s="11">
        <f t="shared" si="6"/>
        <v>0</v>
      </c>
      <c r="N11" s="10"/>
      <c r="O11" s="11">
        <f t="shared" si="7"/>
        <v>0</v>
      </c>
      <c r="P11" s="10"/>
      <c r="Q11" s="11">
        <f t="shared" si="8"/>
        <v>0</v>
      </c>
      <c r="R11" s="10"/>
      <c r="S11" s="11">
        <f t="shared" si="9"/>
        <v>0</v>
      </c>
      <c r="T11" s="10"/>
      <c r="U11" s="11">
        <f t="shared" si="10"/>
        <v>0</v>
      </c>
      <c r="V11" s="10"/>
      <c r="W11" s="11">
        <f t="shared" si="11"/>
        <v>0</v>
      </c>
      <c r="X11" s="10"/>
      <c r="Y11" s="13">
        <f t="shared" si="12"/>
        <v>0</v>
      </c>
      <c r="Z11" s="8">
        <v>1.43</v>
      </c>
    </row>
    <row r="12">
      <c r="A12" s="16" t="s">
        <v>24</v>
      </c>
      <c r="B12" s="10">
        <v>8.0</v>
      </c>
      <c r="C12" s="11">
        <f t="shared" si="1"/>
        <v>16.4</v>
      </c>
      <c r="D12" s="10">
        <v>22.0</v>
      </c>
      <c r="E12" s="11">
        <f t="shared" si="2"/>
        <v>45.1</v>
      </c>
      <c r="F12" s="10">
        <v>7.0</v>
      </c>
      <c r="G12" s="11">
        <f t="shared" si="3"/>
        <v>14.35</v>
      </c>
      <c r="H12" s="10">
        <v>9.0</v>
      </c>
      <c r="I12" s="12">
        <f t="shared" si="4"/>
        <v>18.45</v>
      </c>
      <c r="J12" s="10">
        <v>17.0</v>
      </c>
      <c r="K12" s="11">
        <f t="shared" si="5"/>
        <v>34.85</v>
      </c>
      <c r="L12" s="10"/>
      <c r="M12" s="11">
        <f t="shared" si="6"/>
        <v>0</v>
      </c>
      <c r="N12" s="10"/>
      <c r="O12" s="11">
        <f t="shared" si="7"/>
        <v>0</v>
      </c>
      <c r="P12" s="10"/>
      <c r="Q12" s="11">
        <f t="shared" si="8"/>
        <v>0</v>
      </c>
      <c r="R12" s="10"/>
      <c r="S12" s="11">
        <f t="shared" si="9"/>
        <v>0</v>
      </c>
      <c r="T12" s="10"/>
      <c r="U12" s="11">
        <f t="shared" si="10"/>
        <v>0</v>
      </c>
      <c r="V12" s="10"/>
      <c r="W12" s="11">
        <f t="shared" si="11"/>
        <v>0</v>
      </c>
      <c r="X12" s="10"/>
      <c r="Y12" s="13">
        <f t="shared" si="12"/>
        <v>0</v>
      </c>
      <c r="Z12" s="8">
        <v>2.05</v>
      </c>
    </row>
    <row r="13">
      <c r="A13" s="16" t="s">
        <v>25</v>
      </c>
      <c r="B13" s="10">
        <v>5.0</v>
      </c>
      <c r="C13" s="11">
        <f t="shared" si="1"/>
        <v>13.2</v>
      </c>
      <c r="D13" s="10">
        <v>8.0</v>
      </c>
      <c r="E13" s="11">
        <f t="shared" si="2"/>
        <v>21.12</v>
      </c>
      <c r="F13" s="10">
        <v>2.0</v>
      </c>
      <c r="G13" s="11">
        <f t="shared" si="3"/>
        <v>5.28</v>
      </c>
      <c r="H13" s="10">
        <v>1.0</v>
      </c>
      <c r="I13" s="12">
        <f t="shared" si="4"/>
        <v>2.64</v>
      </c>
      <c r="J13" s="10">
        <v>9.0</v>
      </c>
      <c r="K13" s="11">
        <f t="shared" si="5"/>
        <v>23.76</v>
      </c>
      <c r="L13" s="10"/>
      <c r="M13" s="11">
        <f t="shared" si="6"/>
        <v>0</v>
      </c>
      <c r="N13" s="10"/>
      <c r="O13" s="11">
        <f t="shared" si="7"/>
        <v>0</v>
      </c>
      <c r="P13" s="10"/>
      <c r="Q13" s="11">
        <f t="shared" si="8"/>
        <v>0</v>
      </c>
      <c r="R13" s="10"/>
      <c r="S13" s="11">
        <f t="shared" si="9"/>
        <v>0</v>
      </c>
      <c r="T13" s="10"/>
      <c r="U13" s="11">
        <f t="shared" si="10"/>
        <v>0</v>
      </c>
      <c r="V13" s="10"/>
      <c r="W13" s="11">
        <f t="shared" si="11"/>
        <v>0</v>
      </c>
      <c r="X13" s="10"/>
      <c r="Y13" s="13">
        <f t="shared" si="12"/>
        <v>0</v>
      </c>
      <c r="Z13" s="8">
        <v>2.64</v>
      </c>
    </row>
    <row r="14">
      <c r="A14" s="17" t="s">
        <v>26</v>
      </c>
      <c r="B14" s="18">
        <f t="shared" ref="B14:E14" si="13">SUM(B2:B13)</f>
        <v>309</v>
      </c>
      <c r="C14" s="19">
        <f t="shared" si="13"/>
        <v>394.24</v>
      </c>
      <c r="D14" s="18">
        <f t="shared" si="13"/>
        <v>427</v>
      </c>
      <c r="E14" s="19">
        <f t="shared" si="13"/>
        <v>552.99</v>
      </c>
      <c r="F14" s="18">
        <f>SUM(F2:F8)</f>
        <v>356</v>
      </c>
      <c r="G14" s="19">
        <f t="shared" ref="G14:Y14" si="14">SUM(G2:G13)</f>
        <v>475.17</v>
      </c>
      <c r="H14" s="18">
        <f t="shared" si="14"/>
        <v>254</v>
      </c>
      <c r="I14" s="20">
        <f t="shared" si="14"/>
        <v>322.54</v>
      </c>
      <c r="J14" s="18">
        <f t="shared" si="14"/>
        <v>362</v>
      </c>
      <c r="K14" s="20">
        <f t="shared" si="14"/>
        <v>462.83</v>
      </c>
      <c r="L14" s="18">
        <f t="shared" si="14"/>
        <v>0</v>
      </c>
      <c r="M14" s="19">
        <f t="shared" si="14"/>
        <v>0</v>
      </c>
      <c r="N14" s="18">
        <f t="shared" si="14"/>
        <v>0</v>
      </c>
      <c r="O14" s="19">
        <f t="shared" si="14"/>
        <v>0</v>
      </c>
      <c r="P14" s="18">
        <f t="shared" si="14"/>
        <v>0</v>
      </c>
      <c r="Q14" s="19">
        <f t="shared" si="14"/>
        <v>0</v>
      </c>
      <c r="R14" s="18">
        <f t="shared" si="14"/>
        <v>0</v>
      </c>
      <c r="S14" s="19">
        <f t="shared" si="14"/>
        <v>0</v>
      </c>
      <c r="T14" s="18">
        <f t="shared" si="14"/>
        <v>0</v>
      </c>
      <c r="U14" s="19">
        <f t="shared" si="14"/>
        <v>0</v>
      </c>
      <c r="V14" s="18">
        <f t="shared" si="14"/>
        <v>0</v>
      </c>
      <c r="W14" s="19">
        <f t="shared" si="14"/>
        <v>0</v>
      </c>
      <c r="X14" s="18">
        <f t="shared" si="14"/>
        <v>0</v>
      </c>
      <c r="Y14" s="19">
        <f t="shared" si="14"/>
        <v>0</v>
      </c>
      <c r="Z14" s="21">
        <f>C14+E14+G14+I14+K14+M14+O14+Q14+S14+U14+W14+Y14</f>
        <v>2207.77</v>
      </c>
    </row>
    <row r="15">
      <c r="A15" s="17"/>
    </row>
    <row r="39">
      <c r="B39" s="8" t="s">
        <v>1</v>
      </c>
      <c r="C39" s="8" t="s">
        <v>2</v>
      </c>
      <c r="D39" s="8" t="s">
        <v>3</v>
      </c>
      <c r="E39" s="8" t="s">
        <v>4</v>
      </c>
      <c r="F39" s="8" t="s">
        <v>5</v>
      </c>
      <c r="G39" s="8" t="s">
        <v>6</v>
      </c>
      <c r="H39" s="8" t="s">
        <v>7</v>
      </c>
      <c r="I39" s="8" t="s">
        <v>8</v>
      </c>
      <c r="J39" s="8" t="s">
        <v>9</v>
      </c>
      <c r="K39" s="8" t="s">
        <v>10</v>
      </c>
      <c r="L39" s="8" t="s">
        <v>11</v>
      </c>
      <c r="M39" s="8" t="s">
        <v>12</v>
      </c>
    </row>
    <row r="40">
      <c r="B40" s="21">
        <f>C14</f>
        <v>394.24</v>
      </c>
      <c r="C40" s="21">
        <f>E14</f>
        <v>552.99</v>
      </c>
      <c r="D40" s="21">
        <f>G14</f>
        <v>475.17</v>
      </c>
      <c r="E40" s="21">
        <f>I14</f>
        <v>322.54</v>
      </c>
      <c r="F40" s="21">
        <f>K14</f>
        <v>462.83</v>
      </c>
      <c r="G40" s="21">
        <f>M14</f>
        <v>0</v>
      </c>
      <c r="H40" s="21">
        <f>O14</f>
        <v>0</v>
      </c>
      <c r="I40" s="21">
        <f>Q14</f>
        <v>0</v>
      </c>
      <c r="J40" s="21">
        <f>S14</f>
        <v>0</v>
      </c>
      <c r="K40" s="21">
        <f>U14</f>
        <v>0</v>
      </c>
      <c r="L40" s="21">
        <f>W14</f>
        <v>0</v>
      </c>
      <c r="M40" s="21">
        <f>Y14</f>
        <v>0</v>
      </c>
      <c r="O40" s="21" t="str">
        <f>(B40:N40)</f>
        <v>#VALUE!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9.25"/>
    <col customWidth="1" min="3" max="3" width="7.0"/>
    <col customWidth="1" min="4" max="4" width="8.5"/>
    <col customWidth="1" min="5" max="5" width="7.5"/>
    <col customWidth="1" min="6" max="6" width="7.75"/>
    <col customWidth="1" min="7" max="7" width="6.75"/>
    <col customWidth="1" min="8" max="8" width="7.75"/>
    <col customWidth="1" min="9" max="9" width="7.13"/>
    <col customWidth="1" min="10" max="10" width="8.25"/>
    <col customWidth="1" min="11" max="11" width="7.5"/>
    <col customWidth="1" min="12" max="12" width="7.88"/>
    <col customWidth="1" min="13" max="13" width="6.88"/>
    <col customWidth="1" min="14" max="14" width="7.5"/>
    <col customWidth="1" min="15" max="15" width="6.63"/>
    <col customWidth="1" min="16" max="16" width="8.0"/>
    <col customWidth="1" min="17" max="17" width="6.38"/>
    <col customWidth="1" min="18" max="18" width="9.0"/>
    <col customWidth="1" min="19" max="19" width="7.38"/>
    <col customWidth="1" min="20" max="20" width="9.75"/>
    <col customWidth="1" min="21" max="21" width="6.88"/>
    <col customWidth="1" min="22" max="22" width="9.25"/>
    <col customWidth="1" min="23" max="23" width="6.25"/>
    <col customWidth="1" min="24" max="24" width="9.75"/>
    <col customWidth="1" min="25" max="25" width="7.63"/>
  </cols>
  <sheetData>
    <row r="1">
      <c r="A1" s="1" t="s">
        <v>0</v>
      </c>
      <c r="B1" s="2" t="s">
        <v>1</v>
      </c>
      <c r="C1" s="3"/>
      <c r="D1" s="4" t="s">
        <v>2</v>
      </c>
      <c r="E1" s="5"/>
      <c r="F1" s="6" t="s">
        <v>3</v>
      </c>
      <c r="G1" s="5"/>
      <c r="H1" s="6" t="s">
        <v>4</v>
      </c>
      <c r="I1" s="5"/>
      <c r="J1" s="6" t="s">
        <v>5</v>
      </c>
      <c r="K1" s="5"/>
      <c r="L1" s="6" t="s">
        <v>6</v>
      </c>
      <c r="M1" s="5"/>
      <c r="N1" s="6" t="s">
        <v>7</v>
      </c>
      <c r="O1" s="5"/>
      <c r="P1" s="6" t="s">
        <v>8</v>
      </c>
      <c r="Q1" s="5"/>
      <c r="R1" s="6" t="s">
        <v>9</v>
      </c>
      <c r="S1" s="5"/>
      <c r="T1" s="6" t="s">
        <v>10</v>
      </c>
      <c r="U1" s="5"/>
      <c r="V1" s="6" t="s">
        <v>11</v>
      </c>
      <c r="W1" s="5"/>
      <c r="X1" s="6" t="s">
        <v>12</v>
      </c>
      <c r="Y1" s="7"/>
      <c r="Z1" s="8" t="s">
        <v>13</v>
      </c>
    </row>
    <row r="2">
      <c r="A2" s="9" t="s">
        <v>14</v>
      </c>
      <c r="B2" s="10">
        <v>398.0</v>
      </c>
      <c r="C2" s="11">
        <f t="shared" ref="C2:C13" si="1">B2*Z2</f>
        <v>398</v>
      </c>
      <c r="D2" s="10">
        <v>385.0</v>
      </c>
      <c r="E2" s="11">
        <f t="shared" ref="E2:E13" si="2">D2*Z2</f>
        <v>385</v>
      </c>
      <c r="F2" s="10">
        <v>445.0</v>
      </c>
      <c r="G2" s="11">
        <f t="shared" ref="G2:G9" si="3">F2*Z2</f>
        <v>445</v>
      </c>
      <c r="H2" s="10">
        <v>436.0</v>
      </c>
      <c r="I2" s="12">
        <f t="shared" ref="I2:I13" si="4">H2*Z2</f>
        <v>436</v>
      </c>
      <c r="J2" s="10">
        <v>423.0</v>
      </c>
      <c r="K2" s="11">
        <f t="shared" ref="K2:K13" si="5">J2*Z2</f>
        <v>423</v>
      </c>
      <c r="L2" s="10"/>
      <c r="M2" s="11">
        <f t="shared" ref="M2:M13" si="6">L2*Z2</f>
        <v>0</v>
      </c>
      <c r="N2" s="10"/>
      <c r="O2" s="11">
        <f t="shared" ref="O2:O13" si="7">N2*Z2</f>
        <v>0</v>
      </c>
      <c r="P2" s="10"/>
      <c r="Q2" s="11">
        <f t="shared" ref="Q2:Q13" si="8">P2*Z2</f>
        <v>0</v>
      </c>
      <c r="R2" s="10"/>
      <c r="S2" s="11">
        <f t="shared" ref="S2:S13" si="9">R2*Z2</f>
        <v>0</v>
      </c>
      <c r="T2" s="10"/>
      <c r="U2" s="11">
        <f t="shared" ref="U2:U13" si="10">T2*Z2</f>
        <v>0</v>
      </c>
      <c r="V2" s="10"/>
      <c r="W2" s="11">
        <f t="shared" ref="W2:W13" si="11">V2*Z2</f>
        <v>0</v>
      </c>
      <c r="X2" s="10"/>
      <c r="Y2" s="13">
        <f t="shared" ref="Y2:Y13" si="12">X2*Z2</f>
        <v>0</v>
      </c>
      <c r="Z2" s="8">
        <v>1.0</v>
      </c>
    </row>
    <row r="3">
      <c r="A3" s="9" t="s">
        <v>15</v>
      </c>
      <c r="B3" s="10">
        <v>170.0</v>
      </c>
      <c r="C3" s="11">
        <f t="shared" si="1"/>
        <v>275.4</v>
      </c>
      <c r="D3" s="10">
        <v>188.0</v>
      </c>
      <c r="E3" s="11">
        <f t="shared" si="2"/>
        <v>304.56</v>
      </c>
      <c r="F3" s="10">
        <v>232.0</v>
      </c>
      <c r="G3" s="11">
        <f t="shared" si="3"/>
        <v>375.84</v>
      </c>
      <c r="H3" s="10">
        <v>245.0</v>
      </c>
      <c r="I3" s="12">
        <f t="shared" si="4"/>
        <v>396.9</v>
      </c>
      <c r="J3" s="10">
        <v>226.0</v>
      </c>
      <c r="K3" s="11">
        <f t="shared" si="5"/>
        <v>366.12</v>
      </c>
      <c r="L3" s="10"/>
      <c r="M3" s="11">
        <f t="shared" si="6"/>
        <v>0</v>
      </c>
      <c r="N3" s="10"/>
      <c r="O3" s="11">
        <f t="shared" si="7"/>
        <v>0</v>
      </c>
      <c r="P3" s="10"/>
      <c r="Q3" s="11">
        <f t="shared" si="8"/>
        <v>0</v>
      </c>
      <c r="R3" s="10"/>
      <c r="S3" s="11">
        <f t="shared" si="9"/>
        <v>0</v>
      </c>
      <c r="T3" s="10"/>
      <c r="U3" s="11">
        <f t="shared" si="10"/>
        <v>0</v>
      </c>
      <c r="V3" s="10"/>
      <c r="W3" s="11">
        <f t="shared" si="11"/>
        <v>0</v>
      </c>
      <c r="X3" s="10"/>
      <c r="Y3" s="13">
        <f t="shared" si="12"/>
        <v>0</v>
      </c>
      <c r="Z3" s="8">
        <v>1.62</v>
      </c>
    </row>
    <row r="4">
      <c r="A4" s="9" t="s">
        <v>16</v>
      </c>
      <c r="B4" s="10">
        <v>2.0</v>
      </c>
      <c r="C4" s="11">
        <f t="shared" si="1"/>
        <v>1.56</v>
      </c>
      <c r="D4" s="10">
        <v>3.0</v>
      </c>
      <c r="E4" s="11">
        <f t="shared" si="2"/>
        <v>2.34</v>
      </c>
      <c r="F4" s="10">
        <v>7.0</v>
      </c>
      <c r="G4" s="11">
        <f t="shared" si="3"/>
        <v>5.46</v>
      </c>
      <c r="H4" s="10">
        <v>3.0</v>
      </c>
      <c r="I4" s="12">
        <f t="shared" si="4"/>
        <v>2.34</v>
      </c>
      <c r="J4" s="10">
        <v>4.0</v>
      </c>
      <c r="K4" s="11">
        <f t="shared" si="5"/>
        <v>3.12</v>
      </c>
      <c r="L4" s="10"/>
      <c r="M4" s="11">
        <f t="shared" si="6"/>
        <v>0</v>
      </c>
      <c r="N4" s="10"/>
      <c r="O4" s="11">
        <f t="shared" si="7"/>
        <v>0</v>
      </c>
      <c r="P4" s="10"/>
      <c r="Q4" s="11">
        <f t="shared" si="8"/>
        <v>0</v>
      </c>
      <c r="R4" s="10"/>
      <c r="S4" s="11">
        <f t="shared" si="9"/>
        <v>0</v>
      </c>
      <c r="T4" s="10"/>
      <c r="U4" s="11">
        <f t="shared" si="10"/>
        <v>0</v>
      </c>
      <c r="V4" s="10"/>
      <c r="W4" s="11">
        <f t="shared" si="11"/>
        <v>0</v>
      </c>
      <c r="X4" s="10"/>
      <c r="Y4" s="13">
        <f t="shared" si="12"/>
        <v>0</v>
      </c>
      <c r="Z4" s="8">
        <v>0.78</v>
      </c>
    </row>
    <row r="5">
      <c r="A5" s="9" t="s">
        <v>17</v>
      </c>
      <c r="B5" s="14"/>
      <c r="C5" s="11">
        <f t="shared" si="1"/>
        <v>0</v>
      </c>
      <c r="D5" s="14"/>
      <c r="E5" s="11">
        <f t="shared" si="2"/>
        <v>0</v>
      </c>
      <c r="F5" s="10"/>
      <c r="G5" s="11">
        <f t="shared" si="3"/>
        <v>0</v>
      </c>
      <c r="H5" s="14"/>
      <c r="I5" s="12">
        <f t="shared" si="4"/>
        <v>0</v>
      </c>
      <c r="J5" s="14"/>
      <c r="K5" s="11">
        <f t="shared" si="5"/>
        <v>0</v>
      </c>
      <c r="L5" s="14"/>
      <c r="M5" s="11">
        <f t="shared" si="6"/>
        <v>0</v>
      </c>
      <c r="N5" s="14"/>
      <c r="O5" s="11">
        <f t="shared" si="7"/>
        <v>0</v>
      </c>
      <c r="P5" s="14"/>
      <c r="Q5" s="11">
        <f t="shared" si="8"/>
        <v>0</v>
      </c>
      <c r="R5" s="14"/>
      <c r="S5" s="11">
        <f t="shared" si="9"/>
        <v>0</v>
      </c>
      <c r="T5" s="14"/>
      <c r="U5" s="11">
        <f t="shared" si="10"/>
        <v>0</v>
      </c>
      <c r="V5" s="14"/>
      <c r="W5" s="11">
        <f t="shared" si="11"/>
        <v>0</v>
      </c>
      <c r="X5" s="14"/>
      <c r="Y5" s="13">
        <f t="shared" si="12"/>
        <v>0</v>
      </c>
    </row>
    <row r="6">
      <c r="A6" s="9" t="s">
        <v>18</v>
      </c>
      <c r="B6" s="10">
        <v>20.0</v>
      </c>
      <c r="C6" s="11">
        <f t="shared" si="1"/>
        <v>26.2</v>
      </c>
      <c r="D6" s="10">
        <v>22.0</v>
      </c>
      <c r="E6" s="11">
        <f t="shared" si="2"/>
        <v>28.82</v>
      </c>
      <c r="F6" s="10">
        <v>13.0</v>
      </c>
      <c r="G6" s="11">
        <f t="shared" si="3"/>
        <v>17.03</v>
      </c>
      <c r="H6" s="10">
        <v>21.0</v>
      </c>
      <c r="I6" s="12">
        <f t="shared" si="4"/>
        <v>27.51</v>
      </c>
      <c r="J6" s="10">
        <v>11.0</v>
      </c>
      <c r="K6" s="11">
        <f t="shared" si="5"/>
        <v>14.41</v>
      </c>
      <c r="L6" s="10"/>
      <c r="M6" s="11">
        <f t="shared" si="6"/>
        <v>0</v>
      </c>
      <c r="N6" s="10"/>
      <c r="O6" s="11">
        <f t="shared" si="7"/>
        <v>0</v>
      </c>
      <c r="P6" s="10"/>
      <c r="Q6" s="11">
        <f t="shared" si="8"/>
        <v>0</v>
      </c>
      <c r="R6" s="10"/>
      <c r="S6" s="11">
        <f t="shared" si="9"/>
        <v>0</v>
      </c>
      <c r="T6" s="10"/>
      <c r="U6" s="11">
        <f t="shared" si="10"/>
        <v>0</v>
      </c>
      <c r="V6" s="10"/>
      <c r="W6" s="11">
        <f t="shared" si="11"/>
        <v>0</v>
      </c>
      <c r="X6" s="10"/>
      <c r="Y6" s="13">
        <f t="shared" si="12"/>
        <v>0</v>
      </c>
      <c r="Z6" s="8">
        <v>1.31</v>
      </c>
    </row>
    <row r="7">
      <c r="A7" s="15" t="s">
        <v>19</v>
      </c>
      <c r="B7" s="10">
        <v>20.0</v>
      </c>
      <c r="C7" s="11">
        <f t="shared" si="1"/>
        <v>36.2</v>
      </c>
      <c r="D7" s="10">
        <v>21.0</v>
      </c>
      <c r="E7" s="11">
        <f t="shared" si="2"/>
        <v>38.01</v>
      </c>
      <c r="F7" s="10">
        <v>9.0</v>
      </c>
      <c r="G7" s="11">
        <f t="shared" si="3"/>
        <v>16.29</v>
      </c>
      <c r="H7" s="10">
        <v>13.0</v>
      </c>
      <c r="I7" s="12">
        <f t="shared" si="4"/>
        <v>23.53</v>
      </c>
      <c r="J7" s="10">
        <v>12.0</v>
      </c>
      <c r="K7" s="11">
        <f t="shared" si="5"/>
        <v>21.72</v>
      </c>
      <c r="L7" s="10"/>
      <c r="M7" s="11">
        <f t="shared" si="6"/>
        <v>0</v>
      </c>
      <c r="N7" s="10"/>
      <c r="O7" s="11">
        <f t="shared" si="7"/>
        <v>0</v>
      </c>
      <c r="P7" s="10"/>
      <c r="Q7" s="11">
        <f t="shared" si="8"/>
        <v>0</v>
      </c>
      <c r="R7" s="10"/>
      <c r="S7" s="11">
        <f t="shared" si="9"/>
        <v>0</v>
      </c>
      <c r="T7" s="10"/>
      <c r="U7" s="11">
        <f t="shared" si="10"/>
        <v>0</v>
      </c>
      <c r="V7" s="10"/>
      <c r="W7" s="11">
        <f t="shared" si="11"/>
        <v>0</v>
      </c>
      <c r="X7" s="10"/>
      <c r="Y7" s="13">
        <f t="shared" si="12"/>
        <v>0</v>
      </c>
      <c r="Z7" s="8">
        <v>1.81</v>
      </c>
    </row>
    <row r="8">
      <c r="A8" s="9" t="s">
        <v>20</v>
      </c>
      <c r="B8" s="10">
        <v>15.0</v>
      </c>
      <c r="C8" s="11">
        <f t="shared" si="1"/>
        <v>33.75</v>
      </c>
      <c r="D8" s="10">
        <v>10.0</v>
      </c>
      <c r="E8" s="11">
        <f t="shared" si="2"/>
        <v>22.5</v>
      </c>
      <c r="F8" s="10">
        <v>6.0</v>
      </c>
      <c r="G8" s="11">
        <f t="shared" si="3"/>
        <v>13.5</v>
      </c>
      <c r="H8" s="10">
        <v>10.0</v>
      </c>
      <c r="I8" s="12">
        <f t="shared" si="4"/>
        <v>22.5</v>
      </c>
      <c r="J8" s="10">
        <v>11.0</v>
      </c>
      <c r="K8" s="11">
        <f t="shared" si="5"/>
        <v>24.75</v>
      </c>
      <c r="L8" s="10"/>
      <c r="M8" s="11">
        <f t="shared" si="6"/>
        <v>0</v>
      </c>
      <c r="N8" s="10"/>
      <c r="O8" s="11">
        <f t="shared" si="7"/>
        <v>0</v>
      </c>
      <c r="P8" s="10"/>
      <c r="Q8" s="11">
        <f t="shared" si="8"/>
        <v>0</v>
      </c>
      <c r="R8" s="10"/>
      <c r="S8" s="11">
        <f t="shared" si="9"/>
        <v>0</v>
      </c>
      <c r="T8" s="10"/>
      <c r="U8" s="11">
        <f t="shared" si="10"/>
        <v>0</v>
      </c>
      <c r="V8" s="10"/>
      <c r="W8" s="11">
        <f t="shared" si="11"/>
        <v>0</v>
      </c>
      <c r="X8" s="10"/>
      <c r="Y8" s="13">
        <f t="shared" si="12"/>
        <v>0</v>
      </c>
      <c r="Z8" s="8">
        <v>2.25</v>
      </c>
    </row>
    <row r="9">
      <c r="A9" s="16" t="s">
        <v>21</v>
      </c>
      <c r="B9" s="10"/>
      <c r="C9" s="11">
        <f t="shared" si="1"/>
        <v>0</v>
      </c>
      <c r="D9" s="10"/>
      <c r="E9" s="11">
        <f t="shared" si="2"/>
        <v>0</v>
      </c>
      <c r="F9" s="10"/>
      <c r="G9" s="11">
        <f t="shared" si="3"/>
        <v>0</v>
      </c>
      <c r="H9" s="10"/>
      <c r="I9" s="12">
        <f t="shared" si="4"/>
        <v>0</v>
      </c>
      <c r="J9" s="10"/>
      <c r="K9" s="11">
        <f t="shared" si="5"/>
        <v>0</v>
      </c>
      <c r="L9" s="10"/>
      <c r="M9" s="11">
        <f t="shared" si="6"/>
        <v>0</v>
      </c>
      <c r="N9" s="10"/>
      <c r="O9" s="11">
        <f t="shared" si="7"/>
        <v>0</v>
      </c>
      <c r="P9" s="10"/>
      <c r="Q9" s="11">
        <f t="shared" si="8"/>
        <v>0</v>
      </c>
      <c r="R9" s="10"/>
      <c r="S9" s="11">
        <f t="shared" si="9"/>
        <v>0</v>
      </c>
      <c r="T9" s="10"/>
      <c r="U9" s="11">
        <f t="shared" si="10"/>
        <v>0</v>
      </c>
      <c r="V9" s="10"/>
      <c r="W9" s="11">
        <f t="shared" si="11"/>
        <v>0</v>
      </c>
      <c r="X9" s="10"/>
      <c r="Y9" s="13">
        <f t="shared" si="12"/>
        <v>0</v>
      </c>
    </row>
    <row r="10">
      <c r="A10" s="16" t="s">
        <v>22</v>
      </c>
      <c r="B10" s="10">
        <v>1.0</v>
      </c>
      <c r="C10" s="11">
        <f t="shared" si="1"/>
        <v>1.17</v>
      </c>
      <c r="D10" s="10">
        <v>3.0</v>
      </c>
      <c r="E10" s="11">
        <f t="shared" si="2"/>
        <v>3.51</v>
      </c>
      <c r="F10" s="10"/>
      <c r="G10" s="11"/>
      <c r="H10" s="10">
        <v>2.0</v>
      </c>
      <c r="I10" s="12">
        <f t="shared" si="4"/>
        <v>2.34</v>
      </c>
      <c r="J10" s="10">
        <v>2.0</v>
      </c>
      <c r="K10" s="11">
        <f t="shared" si="5"/>
        <v>2.34</v>
      </c>
      <c r="L10" s="10"/>
      <c r="M10" s="11">
        <f t="shared" si="6"/>
        <v>0</v>
      </c>
      <c r="N10" s="10"/>
      <c r="O10" s="11">
        <f t="shared" si="7"/>
        <v>0</v>
      </c>
      <c r="P10" s="10"/>
      <c r="Q10" s="11">
        <f t="shared" si="8"/>
        <v>0</v>
      </c>
      <c r="R10" s="10"/>
      <c r="S10" s="11">
        <f t="shared" si="9"/>
        <v>0</v>
      </c>
      <c r="T10" s="10"/>
      <c r="U10" s="11">
        <f t="shared" si="10"/>
        <v>0</v>
      </c>
      <c r="V10" s="10"/>
      <c r="W10" s="11">
        <f t="shared" si="11"/>
        <v>0</v>
      </c>
      <c r="X10" s="10"/>
      <c r="Y10" s="13">
        <f t="shared" si="12"/>
        <v>0</v>
      </c>
      <c r="Z10" s="8">
        <v>1.17</v>
      </c>
    </row>
    <row r="11">
      <c r="A11" s="16" t="s">
        <v>23</v>
      </c>
      <c r="B11" s="10">
        <v>25.0</v>
      </c>
      <c r="C11" s="11">
        <f t="shared" si="1"/>
        <v>35.75</v>
      </c>
      <c r="D11" s="10">
        <v>22.0</v>
      </c>
      <c r="E11" s="11">
        <f t="shared" si="2"/>
        <v>31.46</v>
      </c>
      <c r="F11" s="10">
        <v>30.0</v>
      </c>
      <c r="G11" s="11">
        <f t="shared" ref="G11:G13" si="13">F11*Z11</f>
        <v>42.9</v>
      </c>
      <c r="H11" s="10">
        <v>41.0</v>
      </c>
      <c r="I11" s="12">
        <f t="shared" si="4"/>
        <v>58.63</v>
      </c>
      <c r="J11" s="10">
        <v>34.0</v>
      </c>
      <c r="K11" s="11">
        <f t="shared" si="5"/>
        <v>48.62</v>
      </c>
      <c r="L11" s="10"/>
      <c r="M11" s="11">
        <f t="shared" si="6"/>
        <v>0</v>
      </c>
      <c r="N11" s="10"/>
      <c r="O11" s="11">
        <f t="shared" si="7"/>
        <v>0</v>
      </c>
      <c r="P11" s="10"/>
      <c r="Q11" s="11">
        <f t="shared" si="8"/>
        <v>0</v>
      </c>
      <c r="R11" s="10"/>
      <c r="S11" s="11">
        <f t="shared" si="9"/>
        <v>0</v>
      </c>
      <c r="T11" s="10"/>
      <c r="U11" s="11">
        <f t="shared" si="10"/>
        <v>0</v>
      </c>
      <c r="V11" s="10"/>
      <c r="W11" s="11">
        <f t="shared" si="11"/>
        <v>0</v>
      </c>
      <c r="X11" s="10"/>
      <c r="Y11" s="13">
        <f t="shared" si="12"/>
        <v>0</v>
      </c>
      <c r="Z11" s="8">
        <v>1.43</v>
      </c>
    </row>
    <row r="12">
      <c r="A12" s="16" t="s">
        <v>24</v>
      </c>
      <c r="B12" s="10">
        <v>25.0</v>
      </c>
      <c r="C12" s="11">
        <f t="shared" si="1"/>
        <v>51.25</v>
      </c>
      <c r="D12" s="10">
        <v>35.0</v>
      </c>
      <c r="E12" s="11">
        <f t="shared" si="2"/>
        <v>71.75</v>
      </c>
      <c r="F12" s="10">
        <v>41.0</v>
      </c>
      <c r="G12" s="11">
        <f t="shared" si="13"/>
        <v>84.05</v>
      </c>
      <c r="H12" s="10">
        <v>30.0</v>
      </c>
      <c r="I12" s="12">
        <f t="shared" si="4"/>
        <v>61.5</v>
      </c>
      <c r="J12" s="10">
        <v>28.0</v>
      </c>
      <c r="K12" s="11">
        <f t="shared" si="5"/>
        <v>57.4</v>
      </c>
      <c r="L12" s="10"/>
      <c r="M12" s="11">
        <f t="shared" si="6"/>
        <v>0</v>
      </c>
      <c r="N12" s="10"/>
      <c r="O12" s="11">
        <f t="shared" si="7"/>
        <v>0</v>
      </c>
      <c r="P12" s="10"/>
      <c r="Q12" s="11">
        <f t="shared" si="8"/>
        <v>0</v>
      </c>
      <c r="R12" s="10"/>
      <c r="S12" s="11">
        <f t="shared" si="9"/>
        <v>0</v>
      </c>
      <c r="T12" s="10"/>
      <c r="U12" s="11">
        <f t="shared" si="10"/>
        <v>0</v>
      </c>
      <c r="V12" s="10"/>
      <c r="W12" s="11">
        <f t="shared" si="11"/>
        <v>0</v>
      </c>
      <c r="X12" s="10"/>
      <c r="Y12" s="13">
        <f t="shared" si="12"/>
        <v>0</v>
      </c>
      <c r="Z12" s="8">
        <v>2.05</v>
      </c>
    </row>
    <row r="13">
      <c r="A13" s="16" t="s">
        <v>25</v>
      </c>
      <c r="B13" s="10">
        <v>7.0</v>
      </c>
      <c r="C13" s="11">
        <f t="shared" si="1"/>
        <v>18.48</v>
      </c>
      <c r="D13" s="10">
        <v>16.0</v>
      </c>
      <c r="E13" s="11">
        <f t="shared" si="2"/>
        <v>42.24</v>
      </c>
      <c r="F13" s="10">
        <v>17.0</v>
      </c>
      <c r="G13" s="11">
        <f t="shared" si="13"/>
        <v>44.88</v>
      </c>
      <c r="H13" s="10">
        <v>8.0</v>
      </c>
      <c r="I13" s="12">
        <f t="shared" si="4"/>
        <v>21.12</v>
      </c>
      <c r="J13" s="10">
        <v>13.0</v>
      </c>
      <c r="K13" s="11">
        <f t="shared" si="5"/>
        <v>34.32</v>
      </c>
      <c r="L13" s="10"/>
      <c r="M13" s="11">
        <f t="shared" si="6"/>
        <v>0</v>
      </c>
      <c r="N13" s="10"/>
      <c r="O13" s="11">
        <f t="shared" si="7"/>
        <v>0</v>
      </c>
      <c r="P13" s="10"/>
      <c r="Q13" s="11">
        <f t="shared" si="8"/>
        <v>0</v>
      </c>
      <c r="R13" s="10"/>
      <c r="S13" s="11">
        <f t="shared" si="9"/>
        <v>0</v>
      </c>
      <c r="T13" s="10"/>
      <c r="U13" s="11">
        <f t="shared" si="10"/>
        <v>0</v>
      </c>
      <c r="V13" s="10"/>
      <c r="W13" s="11">
        <f t="shared" si="11"/>
        <v>0</v>
      </c>
      <c r="X13" s="10"/>
      <c r="Y13" s="13">
        <f t="shared" si="12"/>
        <v>0</v>
      </c>
      <c r="Z13" s="8">
        <v>2.64</v>
      </c>
    </row>
    <row r="14">
      <c r="A14" s="17" t="s">
        <v>26</v>
      </c>
      <c r="B14" s="18">
        <f t="shared" ref="B14:Y14" si="14">SUM(B2:B13)</f>
        <v>683</v>
      </c>
      <c r="C14" s="19">
        <f t="shared" si="14"/>
        <v>877.76</v>
      </c>
      <c r="D14" s="18">
        <f t="shared" si="14"/>
        <v>705</v>
      </c>
      <c r="E14" s="19">
        <f t="shared" si="14"/>
        <v>930.19</v>
      </c>
      <c r="F14" s="18">
        <f t="shared" si="14"/>
        <v>800</v>
      </c>
      <c r="G14" s="19">
        <f t="shared" si="14"/>
        <v>1044.95</v>
      </c>
      <c r="H14" s="18">
        <f t="shared" si="14"/>
        <v>809</v>
      </c>
      <c r="I14" s="20">
        <f t="shared" si="14"/>
        <v>1052.37</v>
      </c>
      <c r="J14" s="18">
        <f t="shared" si="14"/>
        <v>764</v>
      </c>
      <c r="K14" s="20">
        <f t="shared" si="14"/>
        <v>995.8</v>
      </c>
      <c r="L14" s="18">
        <f t="shared" si="14"/>
        <v>0</v>
      </c>
      <c r="M14" s="19">
        <f t="shared" si="14"/>
        <v>0</v>
      </c>
      <c r="N14" s="18">
        <f t="shared" si="14"/>
        <v>0</v>
      </c>
      <c r="O14" s="19">
        <f t="shared" si="14"/>
        <v>0</v>
      </c>
      <c r="P14" s="18">
        <f t="shared" si="14"/>
        <v>0</v>
      </c>
      <c r="Q14" s="19">
        <f t="shared" si="14"/>
        <v>0</v>
      </c>
      <c r="R14" s="18">
        <f t="shared" si="14"/>
        <v>0</v>
      </c>
      <c r="S14" s="19">
        <f t="shared" si="14"/>
        <v>0</v>
      </c>
      <c r="T14" s="18">
        <f t="shared" si="14"/>
        <v>0</v>
      </c>
      <c r="U14" s="19">
        <f t="shared" si="14"/>
        <v>0</v>
      </c>
      <c r="V14" s="18">
        <f t="shared" si="14"/>
        <v>0</v>
      </c>
      <c r="W14" s="19">
        <f t="shared" si="14"/>
        <v>0</v>
      </c>
      <c r="X14" s="18">
        <f t="shared" si="14"/>
        <v>0</v>
      </c>
      <c r="Y14" s="19">
        <f t="shared" si="14"/>
        <v>0</v>
      </c>
      <c r="Z14" s="21">
        <f>C14+E14+G14+I14+K14+M14+O14+Q14+S14+U14+W14+Y14</f>
        <v>4901.07</v>
      </c>
    </row>
    <row r="15">
      <c r="A15" s="17"/>
    </row>
    <row r="21">
      <c r="P21" s="8" t="s">
        <v>27</v>
      </c>
    </row>
    <row r="40">
      <c r="B40" s="8" t="s">
        <v>1</v>
      </c>
      <c r="C40" s="8" t="s">
        <v>2</v>
      </c>
      <c r="D40" s="8" t="s">
        <v>3</v>
      </c>
      <c r="E40" s="8" t="s">
        <v>4</v>
      </c>
      <c r="F40" s="8" t="s">
        <v>5</v>
      </c>
      <c r="G40" s="8" t="s">
        <v>6</v>
      </c>
      <c r="H40" s="8" t="s">
        <v>7</v>
      </c>
      <c r="I40" s="8" t="s">
        <v>8</v>
      </c>
      <c r="J40" s="8" t="s">
        <v>9</v>
      </c>
      <c r="K40" s="8" t="s">
        <v>10</v>
      </c>
      <c r="L40" s="8" t="s">
        <v>11</v>
      </c>
      <c r="M40" s="8" t="s">
        <v>12</v>
      </c>
    </row>
    <row r="41">
      <c r="B41" s="21">
        <f>C14</f>
        <v>877.76</v>
      </c>
      <c r="C41" s="21">
        <f>E14</f>
        <v>930.19</v>
      </c>
      <c r="D41" s="21">
        <f>G14</f>
        <v>1044.95</v>
      </c>
      <c r="E41" s="21">
        <f>I14</f>
        <v>1052.37</v>
      </c>
      <c r="F41" s="21">
        <f>K14</f>
        <v>995.8</v>
      </c>
      <c r="G41" s="21">
        <f>M14</f>
        <v>0</v>
      </c>
      <c r="H41" s="21">
        <f>O14</f>
        <v>0</v>
      </c>
      <c r="I41" s="21">
        <f>Q14</f>
        <v>0</v>
      </c>
      <c r="J41" s="21">
        <f>S14</f>
        <v>0</v>
      </c>
      <c r="K41" s="21">
        <f>U14</f>
        <v>0</v>
      </c>
      <c r="L41" s="21">
        <f>W14</f>
        <v>0</v>
      </c>
      <c r="M41" s="21">
        <f>Y14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9.25"/>
    <col customWidth="1" min="3" max="3" width="7.0"/>
    <col customWidth="1" min="4" max="4" width="8.5"/>
    <col customWidth="1" min="5" max="5" width="7.5"/>
    <col customWidth="1" min="6" max="6" width="7.75"/>
    <col customWidth="1" min="7" max="7" width="6.75"/>
    <col customWidth="1" min="8" max="8" width="7.75"/>
    <col customWidth="1" min="9" max="9" width="7.13"/>
    <col customWidth="1" min="10" max="10" width="8.25"/>
    <col customWidth="1" min="11" max="11" width="7.5"/>
    <col customWidth="1" min="12" max="12" width="7.88"/>
    <col customWidth="1" min="13" max="13" width="6.88"/>
    <col customWidth="1" min="14" max="14" width="7.5"/>
    <col customWidth="1" min="15" max="15" width="6.63"/>
    <col customWidth="1" min="16" max="16" width="8.0"/>
    <col customWidth="1" min="17" max="17" width="6.38"/>
    <col customWidth="1" min="18" max="18" width="9.0"/>
    <col customWidth="1" min="19" max="19" width="7.38"/>
    <col customWidth="1" min="20" max="20" width="9.75"/>
    <col customWidth="1" min="21" max="21" width="6.88"/>
    <col customWidth="1" min="22" max="22" width="9.25"/>
    <col customWidth="1" min="23" max="23" width="6.25"/>
    <col customWidth="1" min="24" max="24" width="9.75"/>
    <col customWidth="1" min="25" max="25" width="7.63"/>
  </cols>
  <sheetData>
    <row r="1">
      <c r="A1" s="1" t="s">
        <v>0</v>
      </c>
      <c r="B1" s="2" t="s">
        <v>1</v>
      </c>
      <c r="C1" s="3"/>
      <c r="D1" s="4" t="s">
        <v>2</v>
      </c>
      <c r="E1" s="5"/>
      <c r="F1" s="6" t="s">
        <v>3</v>
      </c>
      <c r="G1" s="5"/>
      <c r="H1" s="6" t="s">
        <v>4</v>
      </c>
      <c r="I1" s="5"/>
      <c r="J1" s="6" t="s">
        <v>5</v>
      </c>
      <c r="K1" s="5"/>
      <c r="L1" s="6" t="s">
        <v>6</v>
      </c>
      <c r="M1" s="5"/>
      <c r="N1" s="6" t="s">
        <v>7</v>
      </c>
      <c r="O1" s="5"/>
      <c r="P1" s="6" t="s">
        <v>8</v>
      </c>
      <c r="Q1" s="5"/>
      <c r="R1" s="6" t="s">
        <v>9</v>
      </c>
      <c r="S1" s="5"/>
      <c r="T1" s="6" t="s">
        <v>10</v>
      </c>
      <c r="U1" s="5"/>
      <c r="V1" s="6" t="s">
        <v>11</v>
      </c>
      <c r="W1" s="5"/>
      <c r="X1" s="6" t="s">
        <v>12</v>
      </c>
      <c r="Y1" s="7"/>
      <c r="Z1" s="8" t="s">
        <v>13</v>
      </c>
    </row>
    <row r="2">
      <c r="A2" s="9" t="s">
        <v>14</v>
      </c>
      <c r="B2" s="10"/>
      <c r="C2" s="11">
        <f t="shared" ref="C2:C13" si="1">B2*Z2</f>
        <v>0</v>
      </c>
      <c r="D2" s="10"/>
      <c r="E2" s="11">
        <f t="shared" ref="E2:E13" si="2">D2*Z2</f>
        <v>0</v>
      </c>
      <c r="F2" s="10"/>
      <c r="G2" s="11">
        <f t="shared" ref="G2:G9" si="3">F2*Z2</f>
        <v>0</v>
      </c>
      <c r="H2" s="10"/>
      <c r="I2" s="12">
        <f t="shared" ref="I2:I13" si="4">H2*Z2</f>
        <v>0</v>
      </c>
      <c r="J2" s="10"/>
      <c r="K2" s="11">
        <f t="shared" ref="K2:K13" si="5">J2*Z2</f>
        <v>0</v>
      </c>
      <c r="L2" s="10">
        <v>6.0</v>
      </c>
      <c r="M2" s="11">
        <f t="shared" ref="M2:M13" si="6">L2*Z2</f>
        <v>6</v>
      </c>
      <c r="N2" s="10">
        <v>17.0</v>
      </c>
      <c r="O2" s="11">
        <f t="shared" ref="O2:O13" si="7">N2*Z2</f>
        <v>17</v>
      </c>
      <c r="P2" s="10">
        <v>10.0</v>
      </c>
      <c r="Q2" s="11">
        <f t="shared" ref="Q2:Q13" si="8">P2*Z2</f>
        <v>10</v>
      </c>
      <c r="R2" s="10"/>
      <c r="S2" s="11">
        <f t="shared" ref="S2:S13" si="9">R2*Z2</f>
        <v>0</v>
      </c>
      <c r="T2" s="10"/>
      <c r="U2" s="11">
        <f t="shared" ref="U2:U13" si="10">T2*Z2</f>
        <v>0</v>
      </c>
      <c r="V2" s="10"/>
      <c r="W2" s="11">
        <f t="shared" ref="W2:W13" si="11">V2*Z2</f>
        <v>0</v>
      </c>
      <c r="X2" s="10"/>
      <c r="Y2" s="13">
        <f t="shared" ref="Y2:Y13" si="12">X2*Z2</f>
        <v>0</v>
      </c>
      <c r="Z2" s="8">
        <v>1.0</v>
      </c>
    </row>
    <row r="3">
      <c r="A3" s="9" t="s">
        <v>15</v>
      </c>
      <c r="B3" s="10"/>
      <c r="C3" s="11">
        <f t="shared" si="1"/>
        <v>0</v>
      </c>
      <c r="D3" s="10"/>
      <c r="E3" s="11">
        <f t="shared" si="2"/>
        <v>0</v>
      </c>
      <c r="F3" s="10"/>
      <c r="G3" s="11">
        <f t="shared" si="3"/>
        <v>0</v>
      </c>
      <c r="H3" s="10"/>
      <c r="I3" s="12">
        <f t="shared" si="4"/>
        <v>0</v>
      </c>
      <c r="J3" s="10"/>
      <c r="K3" s="11">
        <f t="shared" si="5"/>
        <v>0</v>
      </c>
      <c r="L3" s="10">
        <v>2.0</v>
      </c>
      <c r="M3" s="11">
        <f t="shared" si="6"/>
        <v>3.24</v>
      </c>
      <c r="N3" s="10">
        <v>6.0</v>
      </c>
      <c r="O3" s="11">
        <f t="shared" si="7"/>
        <v>9.72</v>
      </c>
      <c r="P3" s="10">
        <v>8.0</v>
      </c>
      <c r="Q3" s="11">
        <f t="shared" si="8"/>
        <v>12.96</v>
      </c>
      <c r="R3" s="10"/>
      <c r="S3" s="11">
        <f t="shared" si="9"/>
        <v>0</v>
      </c>
      <c r="T3" s="10"/>
      <c r="U3" s="11">
        <f t="shared" si="10"/>
        <v>0</v>
      </c>
      <c r="V3" s="10"/>
      <c r="W3" s="11">
        <f t="shared" si="11"/>
        <v>0</v>
      </c>
      <c r="X3" s="10"/>
      <c r="Y3" s="13">
        <f t="shared" si="12"/>
        <v>0</v>
      </c>
      <c r="Z3" s="8">
        <v>1.62</v>
      </c>
    </row>
    <row r="4">
      <c r="A4" s="9" t="s">
        <v>16</v>
      </c>
      <c r="B4" s="10"/>
      <c r="C4" s="11">
        <f t="shared" si="1"/>
        <v>0</v>
      </c>
      <c r="D4" s="10"/>
      <c r="E4" s="11">
        <f t="shared" si="2"/>
        <v>0</v>
      </c>
      <c r="F4" s="10"/>
      <c r="G4" s="11">
        <f t="shared" si="3"/>
        <v>0</v>
      </c>
      <c r="H4" s="10"/>
      <c r="I4" s="12">
        <f t="shared" si="4"/>
        <v>0</v>
      </c>
      <c r="J4" s="10"/>
      <c r="K4" s="11">
        <f t="shared" si="5"/>
        <v>0</v>
      </c>
      <c r="L4" s="10">
        <v>1.0</v>
      </c>
      <c r="M4" s="11">
        <f t="shared" si="6"/>
        <v>0.78</v>
      </c>
      <c r="N4" s="10"/>
      <c r="O4" s="11">
        <f t="shared" si="7"/>
        <v>0</v>
      </c>
      <c r="P4" s="10"/>
      <c r="Q4" s="11">
        <f t="shared" si="8"/>
        <v>0</v>
      </c>
      <c r="R4" s="10"/>
      <c r="S4" s="11">
        <f t="shared" si="9"/>
        <v>0</v>
      </c>
      <c r="T4" s="10"/>
      <c r="U4" s="11">
        <f t="shared" si="10"/>
        <v>0</v>
      </c>
      <c r="V4" s="10"/>
      <c r="W4" s="11">
        <f t="shared" si="11"/>
        <v>0</v>
      </c>
      <c r="X4" s="10"/>
      <c r="Y4" s="13">
        <f t="shared" si="12"/>
        <v>0</v>
      </c>
      <c r="Z4" s="8">
        <v>0.78</v>
      </c>
    </row>
    <row r="5">
      <c r="A5" s="9" t="s">
        <v>17</v>
      </c>
      <c r="B5" s="14"/>
      <c r="C5" s="11">
        <f t="shared" si="1"/>
        <v>0</v>
      </c>
      <c r="D5" s="14"/>
      <c r="E5" s="11">
        <f t="shared" si="2"/>
        <v>0</v>
      </c>
      <c r="F5" s="10"/>
      <c r="G5" s="11">
        <f t="shared" si="3"/>
        <v>0</v>
      </c>
      <c r="H5" s="14"/>
      <c r="I5" s="12">
        <f t="shared" si="4"/>
        <v>0</v>
      </c>
      <c r="J5" s="14"/>
      <c r="K5" s="11">
        <f t="shared" si="5"/>
        <v>0</v>
      </c>
      <c r="L5" s="14"/>
      <c r="M5" s="11">
        <f t="shared" si="6"/>
        <v>0</v>
      </c>
      <c r="N5" s="14"/>
      <c r="O5" s="11">
        <f t="shared" si="7"/>
        <v>0</v>
      </c>
      <c r="P5" s="14"/>
      <c r="Q5" s="11">
        <f t="shared" si="8"/>
        <v>0</v>
      </c>
      <c r="R5" s="14"/>
      <c r="S5" s="11">
        <f t="shared" si="9"/>
        <v>0</v>
      </c>
      <c r="T5" s="14"/>
      <c r="U5" s="11">
        <f t="shared" si="10"/>
        <v>0</v>
      </c>
      <c r="V5" s="14"/>
      <c r="W5" s="11">
        <f t="shared" si="11"/>
        <v>0</v>
      </c>
      <c r="X5" s="14"/>
      <c r="Y5" s="13">
        <f t="shared" si="12"/>
        <v>0</v>
      </c>
    </row>
    <row r="6">
      <c r="A6" s="9" t="s">
        <v>18</v>
      </c>
      <c r="B6" s="10"/>
      <c r="C6" s="11">
        <f t="shared" si="1"/>
        <v>0</v>
      </c>
      <c r="D6" s="10"/>
      <c r="E6" s="11">
        <f t="shared" si="2"/>
        <v>0</v>
      </c>
      <c r="F6" s="10"/>
      <c r="G6" s="11">
        <f t="shared" si="3"/>
        <v>0</v>
      </c>
      <c r="H6" s="10"/>
      <c r="I6" s="12">
        <f t="shared" si="4"/>
        <v>0</v>
      </c>
      <c r="J6" s="10"/>
      <c r="K6" s="11">
        <f t="shared" si="5"/>
        <v>0</v>
      </c>
      <c r="L6" s="10"/>
      <c r="M6" s="11">
        <f t="shared" si="6"/>
        <v>0</v>
      </c>
      <c r="N6" s="10">
        <v>2.0</v>
      </c>
      <c r="O6" s="11">
        <f t="shared" si="7"/>
        <v>2.62</v>
      </c>
      <c r="P6" s="10">
        <v>3.0</v>
      </c>
      <c r="Q6" s="11">
        <f t="shared" si="8"/>
        <v>3.93</v>
      </c>
      <c r="R6" s="10"/>
      <c r="S6" s="11">
        <f t="shared" si="9"/>
        <v>0</v>
      </c>
      <c r="T6" s="10"/>
      <c r="U6" s="11">
        <f t="shared" si="10"/>
        <v>0</v>
      </c>
      <c r="V6" s="10"/>
      <c r="W6" s="11">
        <f t="shared" si="11"/>
        <v>0</v>
      </c>
      <c r="X6" s="10"/>
      <c r="Y6" s="13">
        <f t="shared" si="12"/>
        <v>0</v>
      </c>
      <c r="Z6" s="8">
        <v>1.31</v>
      </c>
    </row>
    <row r="7">
      <c r="A7" s="15" t="s">
        <v>19</v>
      </c>
      <c r="B7" s="10"/>
      <c r="C7" s="11">
        <f t="shared" si="1"/>
        <v>0</v>
      </c>
      <c r="D7" s="10"/>
      <c r="E7" s="11">
        <f t="shared" si="2"/>
        <v>0</v>
      </c>
      <c r="F7" s="10"/>
      <c r="G7" s="11">
        <f t="shared" si="3"/>
        <v>0</v>
      </c>
      <c r="H7" s="10"/>
      <c r="I7" s="12">
        <f t="shared" si="4"/>
        <v>0</v>
      </c>
      <c r="J7" s="10"/>
      <c r="K7" s="11">
        <f t="shared" si="5"/>
        <v>0</v>
      </c>
      <c r="L7" s="10">
        <v>1.0</v>
      </c>
      <c r="M7" s="11">
        <f t="shared" si="6"/>
        <v>1.81</v>
      </c>
      <c r="N7" s="10">
        <v>4.0</v>
      </c>
      <c r="O7" s="11">
        <f t="shared" si="7"/>
        <v>7.24</v>
      </c>
      <c r="P7" s="10">
        <v>1.0</v>
      </c>
      <c r="Q7" s="11">
        <f t="shared" si="8"/>
        <v>1.81</v>
      </c>
      <c r="R7" s="10"/>
      <c r="S7" s="11">
        <f t="shared" si="9"/>
        <v>0</v>
      </c>
      <c r="T7" s="10"/>
      <c r="U7" s="11">
        <f t="shared" si="10"/>
        <v>0</v>
      </c>
      <c r="V7" s="10"/>
      <c r="W7" s="11">
        <f t="shared" si="11"/>
        <v>0</v>
      </c>
      <c r="X7" s="10"/>
      <c r="Y7" s="13">
        <f t="shared" si="12"/>
        <v>0</v>
      </c>
      <c r="Z7" s="8">
        <v>1.81</v>
      </c>
    </row>
    <row r="8">
      <c r="A8" s="9" t="s">
        <v>20</v>
      </c>
      <c r="B8" s="10"/>
      <c r="C8" s="11">
        <f t="shared" si="1"/>
        <v>0</v>
      </c>
      <c r="D8" s="10"/>
      <c r="E8" s="11">
        <f t="shared" si="2"/>
        <v>0</v>
      </c>
      <c r="F8" s="10"/>
      <c r="G8" s="11">
        <f t="shared" si="3"/>
        <v>0</v>
      </c>
      <c r="H8" s="10"/>
      <c r="I8" s="12">
        <f t="shared" si="4"/>
        <v>0</v>
      </c>
      <c r="J8" s="10"/>
      <c r="K8" s="11">
        <f t="shared" si="5"/>
        <v>0</v>
      </c>
      <c r="L8" s="10"/>
      <c r="M8" s="11">
        <f t="shared" si="6"/>
        <v>0</v>
      </c>
      <c r="N8" s="10">
        <v>1.0</v>
      </c>
      <c r="O8" s="11">
        <f t="shared" si="7"/>
        <v>2.25</v>
      </c>
      <c r="P8" s="10">
        <v>1.0</v>
      </c>
      <c r="Q8" s="11">
        <f t="shared" si="8"/>
        <v>2.25</v>
      </c>
      <c r="R8" s="10"/>
      <c r="S8" s="11">
        <f t="shared" si="9"/>
        <v>0</v>
      </c>
      <c r="T8" s="10"/>
      <c r="U8" s="11">
        <f t="shared" si="10"/>
        <v>0</v>
      </c>
      <c r="V8" s="10"/>
      <c r="W8" s="11">
        <f t="shared" si="11"/>
        <v>0</v>
      </c>
      <c r="X8" s="10"/>
      <c r="Y8" s="13">
        <f t="shared" si="12"/>
        <v>0</v>
      </c>
      <c r="Z8" s="8">
        <v>2.25</v>
      </c>
    </row>
    <row r="9">
      <c r="A9" s="16" t="s">
        <v>21</v>
      </c>
      <c r="B9" s="10"/>
      <c r="C9" s="11">
        <f t="shared" si="1"/>
        <v>0</v>
      </c>
      <c r="D9" s="10"/>
      <c r="E9" s="11">
        <f t="shared" si="2"/>
        <v>0</v>
      </c>
      <c r="F9" s="10"/>
      <c r="G9" s="11">
        <f t="shared" si="3"/>
        <v>0</v>
      </c>
      <c r="H9" s="10"/>
      <c r="I9" s="12">
        <f t="shared" si="4"/>
        <v>0</v>
      </c>
      <c r="J9" s="10"/>
      <c r="K9" s="11">
        <f t="shared" si="5"/>
        <v>0</v>
      </c>
      <c r="L9" s="10"/>
      <c r="M9" s="11">
        <f t="shared" si="6"/>
        <v>0</v>
      </c>
      <c r="N9" s="10"/>
      <c r="O9" s="11">
        <f t="shared" si="7"/>
        <v>0</v>
      </c>
      <c r="P9" s="10"/>
      <c r="Q9" s="11">
        <f t="shared" si="8"/>
        <v>0</v>
      </c>
      <c r="R9" s="10"/>
      <c r="S9" s="11">
        <f t="shared" si="9"/>
        <v>0</v>
      </c>
      <c r="T9" s="10"/>
      <c r="U9" s="11">
        <f t="shared" si="10"/>
        <v>0</v>
      </c>
      <c r="V9" s="10"/>
      <c r="W9" s="11">
        <f t="shared" si="11"/>
        <v>0</v>
      </c>
      <c r="X9" s="10"/>
      <c r="Y9" s="13">
        <f t="shared" si="12"/>
        <v>0</v>
      </c>
    </row>
    <row r="10">
      <c r="A10" s="16" t="s">
        <v>22</v>
      </c>
      <c r="B10" s="10"/>
      <c r="C10" s="11">
        <f t="shared" si="1"/>
        <v>0</v>
      </c>
      <c r="D10" s="10"/>
      <c r="E10" s="11">
        <f t="shared" si="2"/>
        <v>0</v>
      </c>
      <c r="F10" s="10"/>
      <c r="G10" s="11"/>
      <c r="H10" s="10"/>
      <c r="I10" s="12">
        <f t="shared" si="4"/>
        <v>0</v>
      </c>
      <c r="J10" s="10"/>
      <c r="K10" s="11">
        <f t="shared" si="5"/>
        <v>0</v>
      </c>
      <c r="L10" s="10"/>
      <c r="M10" s="11">
        <f t="shared" si="6"/>
        <v>0</v>
      </c>
      <c r="N10" s="10"/>
      <c r="O10" s="11">
        <f t="shared" si="7"/>
        <v>0</v>
      </c>
      <c r="P10" s="10"/>
      <c r="Q10" s="11">
        <f t="shared" si="8"/>
        <v>0</v>
      </c>
      <c r="R10" s="10"/>
      <c r="S10" s="11">
        <f t="shared" si="9"/>
        <v>0</v>
      </c>
      <c r="T10" s="10"/>
      <c r="U10" s="11">
        <f t="shared" si="10"/>
        <v>0</v>
      </c>
      <c r="V10" s="10"/>
      <c r="W10" s="11">
        <f t="shared" si="11"/>
        <v>0</v>
      </c>
      <c r="X10" s="10"/>
      <c r="Y10" s="13">
        <f t="shared" si="12"/>
        <v>0</v>
      </c>
      <c r="Z10" s="8">
        <v>1.17</v>
      </c>
    </row>
    <row r="11">
      <c r="A11" s="16" t="s">
        <v>23</v>
      </c>
      <c r="B11" s="10"/>
      <c r="C11" s="11">
        <f t="shared" si="1"/>
        <v>0</v>
      </c>
      <c r="D11" s="10"/>
      <c r="E11" s="11">
        <f t="shared" si="2"/>
        <v>0</v>
      </c>
      <c r="F11" s="10"/>
      <c r="G11" s="11">
        <f t="shared" ref="G11:G13" si="13">F11*Z11</f>
        <v>0</v>
      </c>
      <c r="H11" s="10"/>
      <c r="I11" s="12">
        <f t="shared" si="4"/>
        <v>0</v>
      </c>
      <c r="J11" s="10"/>
      <c r="K11" s="11">
        <f t="shared" si="5"/>
        <v>0</v>
      </c>
      <c r="L11" s="10"/>
      <c r="M11" s="11">
        <f t="shared" si="6"/>
        <v>0</v>
      </c>
      <c r="N11" s="10"/>
      <c r="O11" s="11">
        <f t="shared" si="7"/>
        <v>0</v>
      </c>
      <c r="P11" s="10">
        <v>1.0</v>
      </c>
      <c r="Q11" s="11">
        <f t="shared" si="8"/>
        <v>1.43</v>
      </c>
      <c r="R11" s="10"/>
      <c r="S11" s="11">
        <f t="shared" si="9"/>
        <v>0</v>
      </c>
      <c r="T11" s="10"/>
      <c r="U11" s="11">
        <f t="shared" si="10"/>
        <v>0</v>
      </c>
      <c r="V11" s="10"/>
      <c r="W11" s="11">
        <f t="shared" si="11"/>
        <v>0</v>
      </c>
      <c r="X11" s="10"/>
      <c r="Y11" s="13">
        <f t="shared" si="12"/>
        <v>0</v>
      </c>
      <c r="Z11" s="8">
        <v>1.43</v>
      </c>
    </row>
    <row r="12">
      <c r="A12" s="16" t="s">
        <v>24</v>
      </c>
      <c r="B12" s="10"/>
      <c r="C12" s="11">
        <f t="shared" si="1"/>
        <v>0</v>
      </c>
      <c r="D12" s="10"/>
      <c r="E12" s="11">
        <f t="shared" si="2"/>
        <v>0</v>
      </c>
      <c r="F12" s="10"/>
      <c r="G12" s="11">
        <f t="shared" si="13"/>
        <v>0</v>
      </c>
      <c r="H12" s="10"/>
      <c r="I12" s="12">
        <f t="shared" si="4"/>
        <v>0</v>
      </c>
      <c r="J12" s="10"/>
      <c r="K12" s="11">
        <f t="shared" si="5"/>
        <v>0</v>
      </c>
      <c r="L12" s="10">
        <v>1.0</v>
      </c>
      <c r="M12" s="11">
        <f t="shared" si="6"/>
        <v>2.05</v>
      </c>
      <c r="N12" s="10"/>
      <c r="O12" s="11">
        <f t="shared" si="7"/>
        <v>0</v>
      </c>
      <c r="P12" s="10">
        <v>1.0</v>
      </c>
      <c r="Q12" s="11">
        <f t="shared" si="8"/>
        <v>2.05</v>
      </c>
      <c r="R12" s="10"/>
      <c r="S12" s="11">
        <f t="shared" si="9"/>
        <v>0</v>
      </c>
      <c r="T12" s="10"/>
      <c r="U12" s="11">
        <f t="shared" si="10"/>
        <v>0</v>
      </c>
      <c r="V12" s="10"/>
      <c r="W12" s="11">
        <f t="shared" si="11"/>
        <v>0</v>
      </c>
      <c r="X12" s="10"/>
      <c r="Y12" s="13">
        <f t="shared" si="12"/>
        <v>0</v>
      </c>
      <c r="Z12" s="8">
        <v>2.05</v>
      </c>
    </row>
    <row r="13">
      <c r="A13" s="16" t="s">
        <v>25</v>
      </c>
      <c r="B13" s="10"/>
      <c r="C13" s="11">
        <f t="shared" si="1"/>
        <v>0</v>
      </c>
      <c r="D13" s="10"/>
      <c r="E13" s="11">
        <f t="shared" si="2"/>
        <v>0</v>
      </c>
      <c r="F13" s="10"/>
      <c r="G13" s="11">
        <f t="shared" si="13"/>
        <v>0</v>
      </c>
      <c r="H13" s="10"/>
      <c r="I13" s="12">
        <f t="shared" si="4"/>
        <v>0</v>
      </c>
      <c r="J13" s="10"/>
      <c r="K13" s="11">
        <f t="shared" si="5"/>
        <v>0</v>
      </c>
      <c r="L13" s="10"/>
      <c r="M13" s="11">
        <f t="shared" si="6"/>
        <v>0</v>
      </c>
      <c r="N13" s="10"/>
      <c r="O13" s="11">
        <f t="shared" si="7"/>
        <v>0</v>
      </c>
      <c r="P13" s="10"/>
      <c r="Q13" s="11">
        <f t="shared" si="8"/>
        <v>0</v>
      </c>
      <c r="R13" s="10"/>
      <c r="S13" s="11">
        <f t="shared" si="9"/>
        <v>0</v>
      </c>
      <c r="T13" s="10"/>
      <c r="U13" s="11">
        <f t="shared" si="10"/>
        <v>0</v>
      </c>
      <c r="V13" s="10"/>
      <c r="W13" s="11">
        <f t="shared" si="11"/>
        <v>0</v>
      </c>
      <c r="X13" s="10"/>
      <c r="Y13" s="13">
        <f t="shared" si="12"/>
        <v>0</v>
      </c>
      <c r="Z13" s="8">
        <v>2.64</v>
      </c>
    </row>
    <row r="14">
      <c r="A14" s="17" t="s">
        <v>26</v>
      </c>
      <c r="B14" s="18">
        <f t="shared" ref="B14:Y14" si="14">SUM(B2:B13)</f>
        <v>0</v>
      </c>
      <c r="C14" s="19">
        <f t="shared" si="14"/>
        <v>0</v>
      </c>
      <c r="D14" s="18">
        <f t="shared" si="14"/>
        <v>0</v>
      </c>
      <c r="E14" s="19">
        <f t="shared" si="14"/>
        <v>0</v>
      </c>
      <c r="F14" s="18">
        <f t="shared" si="14"/>
        <v>0</v>
      </c>
      <c r="G14" s="19">
        <f t="shared" si="14"/>
        <v>0</v>
      </c>
      <c r="H14" s="18">
        <f t="shared" si="14"/>
        <v>0</v>
      </c>
      <c r="I14" s="20">
        <f t="shared" si="14"/>
        <v>0</v>
      </c>
      <c r="J14" s="18">
        <f t="shared" si="14"/>
        <v>0</v>
      </c>
      <c r="K14" s="20">
        <f t="shared" si="14"/>
        <v>0</v>
      </c>
      <c r="L14" s="18">
        <f t="shared" si="14"/>
        <v>11</v>
      </c>
      <c r="M14" s="19">
        <f t="shared" si="14"/>
        <v>13.88</v>
      </c>
      <c r="N14" s="18">
        <f t="shared" si="14"/>
        <v>30</v>
      </c>
      <c r="O14" s="19">
        <f t="shared" si="14"/>
        <v>38.83</v>
      </c>
      <c r="P14" s="18">
        <f t="shared" si="14"/>
        <v>25</v>
      </c>
      <c r="Q14" s="19">
        <f t="shared" si="14"/>
        <v>34.43</v>
      </c>
      <c r="R14" s="18">
        <f t="shared" si="14"/>
        <v>0</v>
      </c>
      <c r="S14" s="19">
        <f t="shared" si="14"/>
        <v>0</v>
      </c>
      <c r="T14" s="18">
        <f t="shared" si="14"/>
        <v>0</v>
      </c>
      <c r="U14" s="19">
        <f t="shared" si="14"/>
        <v>0</v>
      </c>
      <c r="V14" s="18">
        <f t="shared" si="14"/>
        <v>0</v>
      </c>
      <c r="W14" s="19">
        <f t="shared" si="14"/>
        <v>0</v>
      </c>
      <c r="X14" s="18">
        <f t="shared" si="14"/>
        <v>0</v>
      </c>
      <c r="Y14" s="19">
        <f t="shared" si="14"/>
        <v>0</v>
      </c>
      <c r="Z14" s="21">
        <f>C14+E14+G14+I14+K14+M14+O14+Q14+S14+U14+W14+Y14</f>
        <v>87.14</v>
      </c>
    </row>
    <row r="15">
      <c r="A15" s="17"/>
    </row>
    <row r="21">
      <c r="P21" s="8" t="s">
        <v>27</v>
      </c>
    </row>
    <row r="40">
      <c r="B40" s="8" t="s">
        <v>1</v>
      </c>
      <c r="C40" s="8" t="s">
        <v>2</v>
      </c>
      <c r="D40" s="8" t="s">
        <v>3</v>
      </c>
      <c r="E40" s="8" t="s">
        <v>4</v>
      </c>
      <c r="F40" s="8" t="s">
        <v>5</v>
      </c>
      <c r="G40" s="8" t="s">
        <v>6</v>
      </c>
      <c r="H40" s="8" t="s">
        <v>7</v>
      </c>
      <c r="I40" s="8" t="s">
        <v>8</v>
      </c>
      <c r="J40" s="8" t="s">
        <v>9</v>
      </c>
      <c r="K40" s="8" t="s">
        <v>10</v>
      </c>
      <c r="L40" s="8" t="s">
        <v>11</v>
      </c>
      <c r="M40" s="8" t="s">
        <v>12</v>
      </c>
    </row>
    <row r="41">
      <c r="B41" s="21">
        <f>C14</f>
        <v>0</v>
      </c>
      <c r="C41" s="21">
        <f>E14</f>
        <v>0</v>
      </c>
      <c r="D41" s="21">
        <f>G14</f>
        <v>0</v>
      </c>
      <c r="E41" s="21">
        <f>I14</f>
        <v>0</v>
      </c>
      <c r="F41" s="21">
        <f>K14</f>
        <v>0</v>
      </c>
      <c r="G41" s="21">
        <f>M14</f>
        <v>13.88</v>
      </c>
      <c r="H41" s="21">
        <f>O14</f>
        <v>38.83</v>
      </c>
      <c r="I41" s="21">
        <f>Q14</f>
        <v>34.43</v>
      </c>
      <c r="J41" s="21">
        <f>S14</f>
        <v>0</v>
      </c>
      <c r="K41" s="21">
        <f>U14</f>
        <v>0</v>
      </c>
      <c r="L41" s="21">
        <f>W14</f>
        <v>0</v>
      </c>
      <c r="M41" s="21">
        <f>Y14</f>
        <v>0</v>
      </c>
    </row>
  </sheetData>
  <drawing r:id="rId1"/>
</worksheet>
</file>